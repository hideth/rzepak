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kulator_Szkód_Rzepak_Poprawi" sheetId="1" r:id="rId5"/>
  </sheets>
  <definedNames/>
  <calcPr/>
</workbook>
</file>

<file path=xl/sharedStrings.xml><?xml version="1.0" encoding="utf-8"?>
<sst xmlns="http://schemas.openxmlformats.org/spreadsheetml/2006/main" count="28" uniqueCount="28">
  <si>
    <t>8.3 Ścięcia/Złamania i zgięcia na 10 roślinach w rzędzie</t>
  </si>
  <si>
    <t>% (Suma/10)</t>
  </si>
  <si>
    <t>Rząd 1 (Ścięcia)</t>
  </si>
  <si>
    <t>Rząd 2 (Ścięcia)</t>
  </si>
  <si>
    <t>Rząd 3 (Ścięcia)</t>
  </si>
  <si>
    <t>Rząd 4 (Ścięcia)</t>
  </si>
  <si>
    <t>ŚREDNIA ŚCIĘĆ (Ogólna ocena roślin)</t>
  </si>
  <si>
    <t>Rząd 1 (Zgięcia)</t>
  </si>
  <si>
    <t>Rząd 2 (Zgięcia)</t>
  </si>
  <si>
    <t>ŚREDNIA ZGIĘĆ (Ogólna ocena roślin)</t>
  </si>
  <si>
    <t>Dane do sekcji 9 (WPISUJ JAKO PROCENTY np. 3.8% lub 0.038)</t>
  </si>
  <si>
    <t>Wartość</t>
  </si>
  <si>
    <t>stopień ubytku</t>
  </si>
  <si>
    <t>Wartość pkt 6.1 (z tabeli 6 dla Ścięć)</t>
  </si>
  <si>
    <t>Wartość pkt 6.2 (z tabeli 6 dla Zgięć)</t>
  </si>
  <si>
    <t>Wartość pkt 7 (Ubytek w plonie nasion - łuszczyny)</t>
  </si>
  <si>
    <t>Ubytek plonu z innych przyczyn (pkt 3+4)</t>
  </si>
  <si>
    <t>9. OBLICZENIE PROCENTU SZKODY</t>
  </si>
  <si>
    <t>Wyliczenia</t>
  </si>
  <si>
    <t>Plon powinno być</t>
  </si>
  <si>
    <t>Ubytek plonu z innych przyczyn</t>
  </si>
  <si>
    <t>RESZTA 1</t>
  </si>
  <si>
    <t>Kwota 1 (Ścięcia: Reszta 1 * pkt 6.1)</t>
  </si>
  <si>
    <t>Kwota 2 (Zgięcia: Reszta 1 * pkt 6.2)</t>
  </si>
  <si>
    <t>Suma kwoty 1 i 2</t>
  </si>
  <si>
    <t>RESZTA 2</t>
  </si>
  <si>
    <t>Kwota 3 (Łuszczyny: Reszta 2 * pkt 7)</t>
  </si>
  <si>
    <t>OGÓLNY PROCENT SZKODY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</si>
</sst>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Alignment="1" applyFont="1" applyNumberFormat="1">
      <alignment readingOrder="0"/>
    </xf>
    <xf borderId="0" fillId="0" fontId="1" numFmtId="9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 t="s">
        <v>1</v>
      </c>
    </row>
    <row r="2">
      <c r="A2" s="1" t="s">
        <v>2</v>
      </c>
      <c r="B2" s="1">
        <v>10.0</v>
      </c>
      <c r="C2" s="1">
        <v>20.0</v>
      </c>
      <c r="D2" s="1">
        <v>10.0</v>
      </c>
      <c r="E2" s="1">
        <v>15.0</v>
      </c>
      <c r="F2" s="1">
        <v>20.0</v>
      </c>
      <c r="G2" s="1">
        <v>15.0</v>
      </c>
      <c r="H2" s="1">
        <v>10.0</v>
      </c>
      <c r="I2" s="1">
        <v>7.0</v>
      </c>
      <c r="J2" s="1">
        <v>10.0</v>
      </c>
      <c r="K2" s="1">
        <v>13.0</v>
      </c>
      <c r="L2" s="2">
        <f t="shared" ref="L2:L5" si="1">SUM(B2:K2)/10</f>
        <v>13</v>
      </c>
    </row>
    <row r="3">
      <c r="A3" s="1" t="s">
        <v>3</v>
      </c>
      <c r="B3" s="1">
        <v>15.0</v>
      </c>
      <c r="C3" s="1">
        <v>5.0</v>
      </c>
      <c r="D3" s="1">
        <v>10.0</v>
      </c>
      <c r="E3" s="1">
        <v>5.0</v>
      </c>
      <c r="F3" s="1">
        <v>5.0</v>
      </c>
      <c r="G3" s="1">
        <v>10.0</v>
      </c>
      <c r="H3" s="1">
        <v>20.0</v>
      </c>
      <c r="I3" s="1">
        <v>10.0</v>
      </c>
      <c r="J3" s="1">
        <v>15.0</v>
      </c>
      <c r="K3" s="1">
        <v>10.0</v>
      </c>
      <c r="L3" s="2">
        <f t="shared" si="1"/>
        <v>10.5</v>
      </c>
    </row>
    <row r="4">
      <c r="A4" s="1" t="s">
        <v>4</v>
      </c>
      <c r="B4" s="1">
        <v>5.0</v>
      </c>
      <c r="C4" s="1">
        <v>5.0</v>
      </c>
      <c r="D4" s="1">
        <v>20.0</v>
      </c>
      <c r="E4" s="1">
        <v>10.0</v>
      </c>
      <c r="F4" s="1">
        <v>5.0</v>
      </c>
      <c r="G4" s="1">
        <v>15.0</v>
      </c>
      <c r="H4" s="1">
        <v>10.0</v>
      </c>
      <c r="I4" s="1">
        <v>20.0</v>
      </c>
      <c r="J4" s="1">
        <v>10.0</v>
      </c>
      <c r="K4" s="1">
        <v>10.0</v>
      </c>
      <c r="L4" s="2">
        <f t="shared" si="1"/>
        <v>11</v>
      </c>
    </row>
    <row r="5">
      <c r="A5" s="1" t="s">
        <v>5</v>
      </c>
      <c r="B5" s="1">
        <v>10.0</v>
      </c>
      <c r="C5" s="1">
        <v>20.0</v>
      </c>
      <c r="D5" s="1">
        <v>5.0</v>
      </c>
      <c r="E5" s="1">
        <v>10.0</v>
      </c>
      <c r="F5" s="1">
        <v>8.0</v>
      </c>
      <c r="G5" s="1">
        <v>5.0</v>
      </c>
      <c r="H5" s="1">
        <v>2.0</v>
      </c>
      <c r="I5" s="1">
        <v>10.0</v>
      </c>
      <c r="J5" s="1">
        <v>10.0</v>
      </c>
      <c r="K5" s="1">
        <v>10.0</v>
      </c>
      <c r="L5" s="2">
        <f t="shared" si="1"/>
        <v>9</v>
      </c>
    </row>
    <row r="6">
      <c r="A6" s="1" t="s">
        <v>6</v>
      </c>
      <c r="L6" s="2">
        <f>AVERAGE(L2:L5)</f>
        <v>10.875</v>
      </c>
    </row>
    <row r="7">
      <c r="A7" s="1" t="s">
        <v>7</v>
      </c>
      <c r="L7" s="2">
        <f t="shared" ref="L7:L8" si="2">IF(COUNTBLANK(B7:K7)=10, 0, SUM(B7:K7)/10)</f>
        <v>0</v>
      </c>
    </row>
    <row r="8">
      <c r="A8" s="1" t="s">
        <v>8</v>
      </c>
      <c r="L8" s="2">
        <f t="shared" si="2"/>
        <v>0</v>
      </c>
    </row>
    <row r="9">
      <c r="A9" s="1" t="s">
        <v>9</v>
      </c>
      <c r="L9" s="2">
        <f>IFERROR(AVERAGEIF(L7:L8, "&gt;0"), 0)</f>
        <v>0</v>
      </c>
    </row>
    <row r="11">
      <c r="A11" s="1" t="s">
        <v>10</v>
      </c>
      <c r="B11" s="1" t="s">
        <v>11</v>
      </c>
      <c r="D11" s="1" t="s">
        <v>12</v>
      </c>
    </row>
    <row r="12">
      <c r="A12" s="1" t="s">
        <v>13</v>
      </c>
      <c r="B12" s="1">
        <f>L6*D12</f>
        <v>3.80625</v>
      </c>
      <c r="C12" s="2">
        <f>11.825*0.35</f>
        <v>4.13875</v>
      </c>
      <c r="D12" s="1">
        <v>0.35</v>
      </c>
    </row>
    <row r="13">
      <c r="A13" s="1" t="s">
        <v>14</v>
      </c>
      <c r="B13" s="3">
        <v>0.0</v>
      </c>
    </row>
    <row r="14">
      <c r="A14" s="1" t="s">
        <v>15</v>
      </c>
      <c r="B14" s="3">
        <v>0.01</v>
      </c>
    </row>
    <row r="15">
      <c r="A15" s="1" t="s">
        <v>16</v>
      </c>
      <c r="B15" s="3">
        <v>0.0</v>
      </c>
    </row>
    <row r="17">
      <c r="A17" s="1" t="s">
        <v>17</v>
      </c>
      <c r="B17" s="1" t="s">
        <v>18</v>
      </c>
    </row>
    <row r="18">
      <c r="A18" s="1" t="s">
        <v>19</v>
      </c>
      <c r="B18" s="3">
        <v>1.0</v>
      </c>
    </row>
    <row r="19">
      <c r="A19" s="1" t="s">
        <v>20</v>
      </c>
      <c r="B19" s="4">
        <f>B15</f>
        <v>0</v>
      </c>
    </row>
    <row r="20">
      <c r="A20" s="1" t="s">
        <v>21</v>
      </c>
      <c r="B20" s="4">
        <f>B18-B19</f>
        <v>1</v>
      </c>
    </row>
    <row r="21">
      <c r="A21" s="1" t="s">
        <v>22</v>
      </c>
      <c r="B21" s="5">
        <f>B20*B12</f>
        <v>3.80625</v>
      </c>
    </row>
    <row r="22">
      <c r="A22" s="1" t="s">
        <v>23</v>
      </c>
      <c r="B22" s="4">
        <f>B20*B13</f>
        <v>0</v>
      </c>
    </row>
    <row r="23">
      <c r="A23" s="1" t="s">
        <v>24</v>
      </c>
      <c r="B23" s="5">
        <f>B21+B22/100</f>
        <v>3.80625</v>
      </c>
    </row>
    <row r="24">
      <c r="A24" s="1" t="s">
        <v>25</v>
      </c>
      <c r="B24" s="2">
        <f>(B20-B23%)*100</f>
        <v>96.19375</v>
      </c>
    </row>
    <row r="25">
      <c r="A25" s="1" t="s">
        <v>26</v>
      </c>
      <c r="B25" s="2">
        <f>B24*B14</f>
        <v>0.9619375</v>
      </c>
    </row>
    <row r="26">
      <c r="A26" s="1" t="s">
        <v>27</v>
      </c>
      <c r="B26" s="5">
        <f>B23+B25</f>
        <v>4.7681875</v>
      </c>
    </row>
  </sheetData>
  <drawing r:id="rId1"/>
</worksheet>
</file>