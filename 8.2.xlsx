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rkusz1" sheetId="1" r:id="rId5"/>
  </sheets>
  <definedNames/>
  <calcPr/>
</workbook>
</file>

<file path=xl/sharedStrings.xml><?xml version="1.0" encoding="utf-8"?>
<sst xmlns="http://schemas.openxmlformats.org/spreadsheetml/2006/main" count="14" uniqueCount="14">
  <si>
    <t xml:space="preserve">Ścięcia/Złamania i zgięcia/Tworzenia się fajki na pojedyńczych roślinach w % </t>
  </si>
  <si>
    <t>suma</t>
  </si>
  <si>
    <t>Łuszczyn razem SG</t>
  </si>
  <si>
    <t>SA LUB SK : SG x 100</t>
  </si>
  <si>
    <t>Ścięcia/ Złamania SA</t>
  </si>
  <si>
    <t>Straty w plonie wskutek występujących na plantacji chorób, szkodników, błędów w agrotechnice</t>
  </si>
  <si>
    <t>Stwierdzone szkody</t>
  </si>
  <si>
    <t>% na plantacji</t>
  </si>
  <si>
    <t>Konpensacja</t>
  </si>
  <si>
    <t>%</t>
  </si>
  <si>
    <t>Ubytek w plonie nasion wskutek uszkodzenia łuszczyn</t>
  </si>
  <si>
    <t>Obliczenie procentu szkody</t>
  </si>
  <si>
    <t>Ubytek wg 3 i 4</t>
  </si>
  <si>
    <t>Reszta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</si>
</sst>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38761D"/>
        <bgColor rgb="FF38761D"/>
      </patternFill>
    </fill>
    <fill>
      <patternFill patternType="solid">
        <fgColor rgb="FF00FFFF"/>
        <bgColor rgb="FF00FFFF"/>
      </patternFill>
    </fill>
    <fill>
      <patternFill patternType="solid">
        <fgColor rgb="FF4A86E8"/>
        <bgColor rgb="FF4A86E8"/>
      </patternFill>
    </fill>
    <fill>
      <patternFill patternType="solid">
        <fgColor rgb="FF93C47D"/>
        <bgColor rgb="FF93C47D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2" fontId="2" numFmtId="0" xfId="0" applyAlignment="1" applyFill="1" applyFont="1">
      <alignment horizontal="right" vertical="bottom"/>
    </xf>
    <xf borderId="0" fillId="3" fontId="2" numFmtId="0" xfId="0" applyAlignment="1" applyFill="1" applyFont="1">
      <alignment horizontal="right" vertical="bottom"/>
    </xf>
    <xf borderId="0" fillId="4" fontId="2" numFmtId="0" xfId="0" applyAlignment="1" applyFill="1" applyFont="1">
      <alignment horizontal="right" vertical="bottom"/>
    </xf>
    <xf borderId="0" fillId="5" fontId="2" numFmtId="0" xfId="0" applyAlignment="1" applyFill="1" applyFont="1">
      <alignment horizontal="right" vertical="bottom"/>
    </xf>
    <xf borderId="0" fillId="6" fontId="2" numFmtId="2" xfId="0" applyAlignment="1" applyFill="1" applyFont="1" applyNumberFormat="1">
      <alignment horizontal="right" vertical="bottom"/>
    </xf>
    <xf borderId="0" fillId="7" fontId="2" numFmtId="0" xfId="0" applyAlignment="1" applyFill="1" applyFont="1">
      <alignment horizontal="right" vertical="bottom"/>
    </xf>
    <xf borderId="0" fillId="0" fontId="1" numFmtId="2" xfId="0" applyAlignment="1" applyFont="1" applyNumberFormat="1">
      <alignment horizontal="right" vertical="bottom"/>
    </xf>
    <xf borderId="0" fillId="6" fontId="1" numFmtId="2" xfId="0" applyAlignment="1" applyFont="1" applyNumberFormat="1">
      <alignment horizontal="right" vertical="bottom"/>
    </xf>
    <xf borderId="0" fillId="0" fontId="2" numFmtId="9" xfId="0" applyAlignment="1" applyFont="1" applyNumberFormat="1">
      <alignment horizontal="right" vertical="bottom"/>
    </xf>
    <xf borderId="0" fillId="0" fontId="2" numFmtId="0" xfId="0" applyAlignment="1" applyFont="1">
      <alignment horizontal="right" vertical="bottom"/>
    </xf>
    <xf borderId="0" fillId="0" fontId="2" numFmtId="2" xfId="0" applyAlignment="1" applyFont="1" applyNumberFormat="1">
      <alignment horizontal="right" vertical="bottom"/>
    </xf>
    <xf borderId="0" fillId="8" fontId="2" numFmtId="2" xfId="0" applyAlignment="1" applyFill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3">
        <v>1.0</v>
      </c>
      <c r="C2" s="3">
        <v>2.0</v>
      </c>
      <c r="D2" s="3">
        <v>3.0</v>
      </c>
      <c r="E2" s="3">
        <v>4.0</v>
      </c>
      <c r="F2" s="3">
        <v>5.0</v>
      </c>
      <c r="G2" s="3">
        <v>6.0</v>
      </c>
      <c r="H2" s="3">
        <v>7.0</v>
      </c>
      <c r="I2" s="3">
        <v>8.0</v>
      </c>
      <c r="J2" s="3">
        <v>9.0</v>
      </c>
      <c r="K2" s="3">
        <v>10.0</v>
      </c>
      <c r="L2" s="2" t="s">
        <v>1</v>
      </c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 t="s">
        <v>2</v>
      </c>
      <c r="B3" s="4">
        <v>20.0</v>
      </c>
      <c r="C3" s="4">
        <v>20.0</v>
      </c>
      <c r="D3" s="4">
        <v>20.0</v>
      </c>
      <c r="E3" s="4">
        <v>28.0</v>
      </c>
      <c r="F3" s="4">
        <v>20.0</v>
      </c>
      <c r="G3" s="4">
        <v>15.0</v>
      </c>
      <c r="H3" s="4">
        <v>10.0</v>
      </c>
      <c r="I3" s="4">
        <v>20.0</v>
      </c>
      <c r="J3" s="4">
        <v>20.0</v>
      </c>
      <c r="K3" s="4">
        <v>20.0</v>
      </c>
      <c r="L3" s="4">
        <f t="shared" ref="L3:L4" si="1">SUM(B3:K3)</f>
        <v>193</v>
      </c>
      <c r="M3" s="2" t="s">
        <v>3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" t="s">
        <v>4</v>
      </c>
      <c r="B4" s="5">
        <v>2.0</v>
      </c>
      <c r="C4" s="5">
        <v>2.0</v>
      </c>
      <c r="D4" s="5">
        <v>2.0</v>
      </c>
      <c r="E4" s="5">
        <v>3.0</v>
      </c>
      <c r="F4" s="5">
        <v>2.0</v>
      </c>
      <c r="G4" s="5">
        <v>2.0</v>
      </c>
      <c r="H4" s="5">
        <v>2.0</v>
      </c>
      <c r="I4" s="5">
        <v>2.0</v>
      </c>
      <c r="J4" s="5">
        <v>2.0</v>
      </c>
      <c r="K4" s="5">
        <v>2.0</v>
      </c>
      <c r="L4" s="6">
        <f t="shared" si="1"/>
        <v>21</v>
      </c>
      <c r="M4" s="7">
        <f>SUM(L4/L3*100)</f>
        <v>10.88082902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" t="s">
        <v>5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8">
        <v>0.0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" t="s">
        <v>6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1" t="s">
        <v>7</v>
      </c>
      <c r="C11" s="1" t="s">
        <v>8</v>
      </c>
      <c r="D11" s="2" t="s">
        <v>9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9">
        <f>SUM(M4)</f>
        <v>10.88082902</v>
      </c>
      <c r="C12" s="8">
        <v>35.0</v>
      </c>
      <c r="D12" s="10">
        <f>B12*C12/100</f>
        <v>3.808290155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" t="s">
        <v>10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8">
        <v>1.0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" t="s">
        <v>11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 t="s">
        <v>12</v>
      </c>
      <c r="F19" s="2" t="s">
        <v>13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11">
        <v>1.0</v>
      </c>
      <c r="E20" s="12">
        <f>A8%</f>
        <v>0</v>
      </c>
      <c r="F20" s="11">
        <f>D20-E20</f>
        <v>1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13">
        <f>D12</f>
        <v>3.808290155</v>
      </c>
      <c r="F21" s="13">
        <f>E21*F20%*100</f>
        <v>3.808290155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12">
        <f>F20%*10000</f>
        <v>100</v>
      </c>
      <c r="D23" s="13">
        <f>F21%*100</f>
        <v>3.808290155</v>
      </c>
      <c r="E23" s="13">
        <f>C23-D23</f>
        <v>96.19170984</v>
      </c>
      <c r="F23" s="13">
        <f>E23%*100*A16%</f>
        <v>0.9619170984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14">
        <f>F21+F23</f>
        <v>4.770207254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